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Client's Deck\"/>
    </mc:Choice>
  </mc:AlternateContent>
  <xr:revisionPtr revIDLastSave="0" documentId="13_ncr:1_{7FCED8E7-216D-4AC7-BC1C-E17DD3826D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OI - Off plan vs ready 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Ojff1jPuCmSw6m2ZnWj9y23KqtkKG+wZDdPBmmGPCo="/>
    </ext>
  </extLst>
</workbook>
</file>

<file path=xl/calcChain.xml><?xml version="1.0" encoding="utf-8"?>
<calcChain xmlns="http://schemas.openxmlformats.org/spreadsheetml/2006/main">
  <c r="G3" i="5" l="1"/>
  <c r="H3" i="5" s="1"/>
  <c r="F7" i="5"/>
  <c r="G7" i="5" s="1"/>
  <c r="H7" i="5" s="1"/>
  <c r="F12" i="5" l="1"/>
  <c r="F13" i="5"/>
  <c r="F14" i="5"/>
  <c r="F15" i="5"/>
  <c r="F11" i="5"/>
  <c r="C12" i="5"/>
  <c r="C13" i="5" s="1"/>
  <c r="C14" i="5" s="1"/>
  <c r="C15" i="5" s="1"/>
  <c r="C16" i="5" s="1"/>
  <c r="D15" i="5" l="1"/>
  <c r="D14" i="5"/>
  <c r="D16" i="5" s="1"/>
  <c r="F6" i="5" s="1"/>
  <c r="G6" i="5" s="1"/>
  <c r="H6" i="5" s="1"/>
  <c r="F2" i="5" l="1"/>
  <c r="G2" i="5" s="1"/>
  <c r="H2" i="5" s="1"/>
  <c r="F4" i="5"/>
  <c r="G4" i="5" s="1"/>
  <c r="H4" i="5" s="1"/>
  <c r="F5" i="5"/>
  <c r="G5" i="5" s="1"/>
  <c r="H5" i="5" s="1"/>
</calcChain>
</file>

<file path=xl/sharedStrings.xml><?xml version="1.0" encoding="utf-8"?>
<sst xmlns="http://schemas.openxmlformats.org/spreadsheetml/2006/main" count="97" uniqueCount="73">
  <si>
    <t>Payment Plan</t>
  </si>
  <si>
    <t>60/40</t>
  </si>
  <si>
    <t>50/50</t>
  </si>
  <si>
    <t>70/30</t>
  </si>
  <si>
    <t>Year 1</t>
  </si>
  <si>
    <t>Year 2</t>
  </si>
  <si>
    <t>Year 3</t>
  </si>
  <si>
    <t>40/60</t>
  </si>
  <si>
    <t>Option</t>
  </si>
  <si>
    <t>Net Profit</t>
  </si>
  <si>
    <t>ROI</t>
  </si>
  <si>
    <t>Year</t>
  </si>
  <si>
    <t xml:space="preserve">Off-Plan Property </t>
  </si>
  <si>
    <t>Ready Property</t>
  </si>
  <si>
    <t>Property Value (AED)</t>
  </si>
  <si>
    <t>Rental Income (AED)</t>
  </si>
  <si>
    <t xml:space="preserve">Payment plan </t>
  </si>
  <si>
    <t>Off Plan</t>
  </si>
  <si>
    <t>80/20</t>
  </si>
  <si>
    <t>Ready</t>
  </si>
  <si>
    <t xml:space="preserve">Property Type </t>
  </si>
  <si>
    <r>
      <t xml:space="preserve">Base property price: </t>
    </r>
    <r>
      <rPr>
        <b/>
        <sz val="11"/>
        <color theme="1"/>
        <rFont val="Calibri"/>
        <family val="2"/>
        <scheme val="minor"/>
      </rPr>
      <t>AED 1,000,000</t>
    </r>
  </si>
  <si>
    <r>
      <t xml:space="preserve">Investment horizon: </t>
    </r>
    <r>
      <rPr>
        <b/>
        <sz val="11"/>
        <color theme="1"/>
        <rFont val="Calibri"/>
        <family val="2"/>
        <scheme val="minor"/>
      </rPr>
      <t>5 years</t>
    </r>
  </si>
  <si>
    <r>
      <t>Off-plan property:</t>
    </r>
    <r>
      <rPr>
        <sz val="11"/>
        <color theme="1"/>
        <rFont val="Calibri"/>
        <family val="2"/>
        <scheme val="minor"/>
      </rPr>
      <t xml:space="preserve"> 12% annual growth</t>
    </r>
  </si>
  <si>
    <r>
      <t>Ready property:</t>
    </r>
    <r>
      <rPr>
        <sz val="11"/>
        <color theme="1"/>
        <rFont val="Calibri"/>
        <family val="2"/>
        <scheme val="minor"/>
      </rPr>
      <t xml:space="preserve"> 5% annual growth</t>
    </r>
  </si>
  <si>
    <r>
      <t xml:space="preserve">Appreciation applied on </t>
    </r>
    <r>
      <rPr>
        <b/>
        <sz val="11"/>
        <color theme="1"/>
        <rFont val="Calibri"/>
        <family val="2"/>
        <scheme val="minor"/>
      </rPr>
      <t>market value (compounded annually)</t>
    </r>
  </si>
  <si>
    <t>Ready property:</t>
  </si>
  <si>
    <r>
      <t xml:space="preserve">Rental starts from </t>
    </r>
    <r>
      <rPr>
        <b/>
        <sz val="11"/>
        <color theme="1"/>
        <rFont val="Calibri"/>
        <family val="2"/>
        <scheme val="minor"/>
      </rPr>
      <t>Year 1</t>
    </r>
  </si>
  <si>
    <r>
      <t xml:space="preserve">Growth: </t>
    </r>
    <r>
      <rPr>
        <b/>
        <sz val="11"/>
        <color theme="1"/>
        <rFont val="Calibri"/>
        <family val="2"/>
        <scheme val="minor"/>
      </rPr>
      <t>5% annually</t>
    </r>
  </si>
  <si>
    <t>Off-plan property:</t>
  </si>
  <si>
    <r>
      <t xml:space="preserve">Rental starts from </t>
    </r>
    <r>
      <rPr>
        <b/>
        <sz val="11"/>
        <color theme="1"/>
        <rFont val="Calibri"/>
        <family val="2"/>
        <scheme val="minor"/>
      </rPr>
      <t>Year 3 (post-handover)</t>
    </r>
  </si>
  <si>
    <t>Yield based on property value at handover (~7%)</t>
  </si>
  <si>
    <t>Rental grows in line with property value thereafter</t>
  </si>
  <si>
    <r>
      <t>Off-plan:</t>
    </r>
    <r>
      <rPr>
        <sz val="11"/>
        <color theme="1"/>
        <rFont val="Calibri"/>
        <family val="2"/>
        <scheme val="minor"/>
      </rPr>
      <t xml:space="preserve"> 4% of property value (</t>
    </r>
    <r>
      <rPr>
        <b/>
        <sz val="11"/>
        <color theme="1"/>
        <rFont val="Calibri"/>
        <family val="2"/>
        <scheme val="minor"/>
      </rPr>
      <t>AED 40,000</t>
    </r>
    <r>
      <rPr>
        <sz val="11"/>
        <color theme="1"/>
        <rFont val="Calibri"/>
        <family val="2"/>
        <scheme val="minor"/>
      </rPr>
      <t>)</t>
    </r>
  </si>
  <si>
    <r>
      <t>Ready:</t>
    </r>
    <r>
      <rPr>
        <sz val="11"/>
        <color theme="1"/>
        <rFont val="Calibri"/>
        <family val="2"/>
        <scheme val="minor"/>
      </rPr>
      <t xml:space="preserve"> 6% of property value (</t>
    </r>
    <r>
      <rPr>
        <b/>
        <sz val="11"/>
        <color theme="1"/>
        <rFont val="Calibri"/>
        <family val="2"/>
        <scheme val="minor"/>
      </rPr>
      <t>AED 60,000</t>
    </r>
    <r>
      <rPr>
        <sz val="11"/>
        <color theme="1"/>
        <rFont val="Calibri"/>
        <family val="2"/>
        <scheme val="minor"/>
      </rPr>
      <t>)</t>
    </r>
  </si>
  <si>
    <r>
      <t xml:space="preserve">Paid </t>
    </r>
    <r>
      <rPr>
        <b/>
        <sz val="11"/>
        <color theme="1"/>
        <rFont val="Calibri"/>
        <family val="2"/>
        <scheme val="minor"/>
      </rPr>
      <t>upfront in Year 1</t>
    </r>
  </si>
  <si>
    <t>Plan</t>
  </si>
  <si>
    <r>
      <t xml:space="preserve">Property sold at </t>
    </r>
    <r>
      <rPr>
        <b/>
        <sz val="11"/>
        <color theme="1"/>
        <rFont val="Calibri"/>
        <family val="2"/>
        <scheme val="minor"/>
      </rPr>
      <t>end of Year 5</t>
    </r>
  </si>
  <si>
    <r>
      <t xml:space="preserve">Exit value based on </t>
    </r>
    <r>
      <rPr>
        <b/>
        <sz val="11"/>
        <color theme="1"/>
        <rFont val="Calibri"/>
        <family val="2"/>
        <scheme val="minor"/>
      </rPr>
      <t>projected market value</t>
    </r>
  </si>
  <si>
    <t>No distress sale discount applied</t>
  </si>
  <si>
    <t>ROI (Return on Investment):</t>
  </si>
  <si>
    <t>Total profit ÷ total cash invested</t>
  </si>
  <si>
    <t>IRR (Internal Rate of Return):</t>
  </si>
  <si>
    <t>Based on:</t>
  </si>
  <si>
    <t>Actual cash outflows (including payment plan + DLD)</t>
  </si>
  <si>
    <t>Rental inflows</t>
  </si>
  <si>
    <t>Final exit value at Year 5</t>
  </si>
  <si>
    <r>
      <t xml:space="preserve">Estimated using </t>
    </r>
    <r>
      <rPr>
        <b/>
        <sz val="11"/>
        <color theme="1"/>
        <rFont val="Calibri"/>
        <family val="2"/>
        <scheme val="minor"/>
      </rPr>
      <t>annual cash flow model (not monthly compounding)</t>
    </r>
  </si>
  <si>
    <t>Type</t>
  </si>
  <si>
    <t>Total Invested</t>
  </si>
  <si>
    <t>Total Inflow (5Y)</t>
  </si>
  <si>
    <t>IRR</t>
  </si>
  <si>
    <t>Off-Plan</t>
  </si>
  <si>
    <t>20–22%</t>
  </si>
  <si>
    <t>18–20%</t>
  </si>
  <si>
    <t>17–18%</t>
  </si>
  <si>
    <t>15–17%</t>
  </si>
  <si>
    <t>14–15%</t>
  </si>
  <si>
    <t>10–12%</t>
  </si>
  <si>
    <t xml:space="preserve">Ready Propetry </t>
  </si>
  <si>
    <t>Value in 5 Year</t>
  </si>
  <si>
    <t xml:space="preserve">Calculation </t>
  </si>
  <si>
    <t>ASSUMPTIONS</t>
  </si>
  <si>
    <t>Property &amp; Investment Base</t>
  </si>
  <si>
    <r>
      <t xml:space="preserve">Comparison between: </t>
    </r>
    <r>
      <rPr>
        <b/>
        <sz val="11"/>
        <color theme="1"/>
        <rFont val="Calibri"/>
        <family val="2"/>
        <scheme val="minor"/>
      </rPr>
      <t>Various Payment Plan</t>
    </r>
    <r>
      <rPr>
        <sz val="11"/>
        <color theme="1"/>
        <rFont val="Calibri"/>
        <family val="2"/>
        <scheme val="minor"/>
      </rPr>
      <t xml:space="preserve">  </t>
    </r>
  </si>
  <si>
    <t>Capital Appreciation Assumptions (based on past 5 year data)</t>
  </si>
  <si>
    <t>Rental Income</t>
  </si>
  <si>
    <r>
      <t xml:space="preserve">Initial yield: </t>
    </r>
    <r>
      <rPr>
        <b/>
        <sz val="11"/>
        <color theme="1"/>
        <rFont val="Calibri"/>
        <family val="2"/>
        <scheme val="minor"/>
      </rPr>
      <t xml:space="preserve">7% </t>
    </r>
  </si>
  <si>
    <t>Transaction Costs (DLD)</t>
  </si>
  <si>
    <t>Payment Plan Assumptions (Off-Plan)</t>
  </si>
  <si>
    <t>For off plan property payments distributed across construction period (Years 1–3)</t>
  </si>
  <si>
    <t>Exit Assumptions</t>
  </si>
  <si>
    <t>Return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</si>
</sst>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2" borderId="0" xfId="0" applyFont="1" applyFill="1"/>
    <xf numFmtId="0" fontId="4" fillId="0" borderId="1" xfId="0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center" vertical="center" wrapText="1" readingOrder="1"/>
    </xf>
    <xf numFmtId="3" fontId="5" fillId="0" borderId="1" xfId="0" applyNumberFormat="1" applyFont="1" applyFill="1" applyBorder="1" applyAlignment="1">
      <alignment horizontal="center" vertical="center" wrapText="1" readingOrder="1"/>
    </xf>
    <xf numFmtId="3" fontId="4" fillId="0" borderId="1" xfId="0" applyNumberFormat="1" applyFont="1" applyFill="1" applyBorder="1" applyAlignment="1">
      <alignment horizontal="center" vertical="center" wrapText="1" readingOrder="1"/>
    </xf>
    <xf numFmtId="9" fontId="1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2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012A-D8F0-420E-9322-8E3A58EB2C5D}">
  <dimension ref="B1:L75"/>
  <sheetViews>
    <sheetView showGridLines="0" tabSelected="1" workbookViewId="0">
      <selection activeCell="H22" sqref="H22"/>
    </sheetView>
  </sheetViews>
  <sheetFormatPr defaultRowHeight="15" x14ac:dyDescent="0.25"/>
  <cols>
    <col min="2" max="2" width="69.42578125" style="1" customWidth="1"/>
    <col min="3" max="3" width="18.85546875" style="1" bestFit="1" customWidth="1"/>
    <col min="4" max="4" width="14.42578125" style="1" customWidth="1"/>
    <col min="5" max="5" width="18.85546875" style="1" bestFit="1" customWidth="1"/>
    <col min="6" max="6" width="15.5703125" style="1" bestFit="1" customWidth="1"/>
    <col min="7" max="12" width="9.140625" style="1"/>
  </cols>
  <sheetData>
    <row r="1" spans="2:9" ht="30" x14ac:dyDescent="0.25">
      <c r="B1" s="2" t="s">
        <v>8</v>
      </c>
      <c r="C1" s="2" t="s">
        <v>48</v>
      </c>
      <c r="D1" s="2" t="s">
        <v>0</v>
      </c>
      <c r="E1" s="2" t="s">
        <v>49</v>
      </c>
      <c r="F1" s="2" t="s">
        <v>50</v>
      </c>
      <c r="G1" s="2" t="s">
        <v>9</v>
      </c>
      <c r="H1" s="2" t="s">
        <v>10</v>
      </c>
      <c r="I1" s="2" t="s">
        <v>51</v>
      </c>
    </row>
    <row r="2" spans="2:9" x14ac:dyDescent="0.25">
      <c r="B2" s="7">
        <v>1</v>
      </c>
      <c r="C2" s="7" t="s">
        <v>52</v>
      </c>
      <c r="D2" s="7" t="s">
        <v>7</v>
      </c>
      <c r="E2" s="9">
        <v>1040000</v>
      </c>
      <c r="F2" s="9">
        <f>C16+D16</f>
        <v>1750540.2880000009</v>
      </c>
      <c r="G2" s="9">
        <f>F2-E2</f>
        <v>710540.28800000087</v>
      </c>
      <c r="H2" s="10">
        <f>G2/E2</f>
        <v>0.68321181538461617</v>
      </c>
      <c r="I2" s="2" t="s">
        <v>53</v>
      </c>
    </row>
    <row r="3" spans="2:9" x14ac:dyDescent="0.25">
      <c r="B3" s="7">
        <v>2</v>
      </c>
      <c r="C3" s="7" t="s">
        <v>52</v>
      </c>
      <c r="D3" s="7" t="s">
        <v>2</v>
      </c>
      <c r="E3" s="9">
        <v>1040000</v>
      </c>
      <c r="F3" s="9">
        <v>1750540</v>
      </c>
      <c r="G3" s="9">
        <f t="shared" ref="G3:G7" si="0">F3-E3</f>
        <v>710540</v>
      </c>
      <c r="H3" s="10">
        <f t="shared" ref="H3:H7" si="1">G3/E3</f>
        <v>0.68321153846153848</v>
      </c>
      <c r="I3" s="2" t="s">
        <v>54</v>
      </c>
    </row>
    <row r="4" spans="2:9" x14ac:dyDescent="0.25">
      <c r="B4" s="7">
        <v>3</v>
      </c>
      <c r="C4" s="7" t="s">
        <v>52</v>
      </c>
      <c r="D4" s="7" t="s">
        <v>1</v>
      </c>
      <c r="E4" s="9">
        <v>1040000</v>
      </c>
      <c r="F4" s="9">
        <f>C16+D16</f>
        <v>1750540.2880000009</v>
      </c>
      <c r="G4" s="9">
        <f t="shared" si="0"/>
        <v>710540.28800000087</v>
      </c>
      <c r="H4" s="10">
        <f t="shared" si="1"/>
        <v>0.68321181538461617</v>
      </c>
      <c r="I4" s="7" t="s">
        <v>55</v>
      </c>
    </row>
    <row r="5" spans="2:9" x14ac:dyDescent="0.25">
      <c r="B5" s="7">
        <v>4</v>
      </c>
      <c r="C5" s="7" t="s">
        <v>52</v>
      </c>
      <c r="D5" s="7" t="s">
        <v>3</v>
      </c>
      <c r="E5" s="9">
        <v>1040000</v>
      </c>
      <c r="F5" s="9">
        <f>C16+D16</f>
        <v>1750540.2880000009</v>
      </c>
      <c r="G5" s="9">
        <f t="shared" si="0"/>
        <v>710540.28800000087</v>
      </c>
      <c r="H5" s="10">
        <f t="shared" si="1"/>
        <v>0.68321181538461617</v>
      </c>
      <c r="I5" s="7" t="s">
        <v>56</v>
      </c>
    </row>
    <row r="6" spans="2:9" x14ac:dyDescent="0.25">
      <c r="B6" s="7">
        <v>5</v>
      </c>
      <c r="C6" s="7" t="s">
        <v>52</v>
      </c>
      <c r="D6" s="7" t="s">
        <v>18</v>
      </c>
      <c r="E6" s="9">
        <v>1040000</v>
      </c>
      <c r="F6" s="9">
        <f>C16+D16</f>
        <v>1750540.2880000009</v>
      </c>
      <c r="G6" s="9">
        <f t="shared" si="0"/>
        <v>710540.28800000087</v>
      </c>
      <c r="H6" s="10">
        <f t="shared" si="1"/>
        <v>0.68321181538461617</v>
      </c>
      <c r="I6" s="7" t="s">
        <v>57</v>
      </c>
    </row>
    <row r="7" spans="2:9" x14ac:dyDescent="0.25">
      <c r="B7" s="7">
        <v>6</v>
      </c>
      <c r="C7" s="7" t="s">
        <v>19</v>
      </c>
      <c r="D7" s="8">
        <v>1</v>
      </c>
      <c r="E7" s="9">
        <v>1060000</v>
      </c>
      <c r="F7" s="9">
        <f>E16+F16</f>
        <v>1663076</v>
      </c>
      <c r="G7" s="9">
        <f t="shared" si="0"/>
        <v>603076</v>
      </c>
      <c r="H7" s="10">
        <f t="shared" si="1"/>
        <v>0.56893962264150943</v>
      </c>
      <c r="I7" s="7" t="s">
        <v>58</v>
      </c>
    </row>
    <row r="8" spans="2:9" x14ac:dyDescent="0.25">
      <c r="B8" s="11" t="s">
        <v>61</v>
      </c>
      <c r="C8" s="11"/>
      <c r="D8" s="11"/>
      <c r="E8" s="11"/>
      <c r="F8" s="11"/>
    </row>
    <row r="9" spans="2:9" ht="20.25" customHeight="1" x14ac:dyDescent="0.25">
      <c r="B9" s="12" t="s">
        <v>11</v>
      </c>
      <c r="C9" s="12" t="s">
        <v>12</v>
      </c>
      <c r="D9" s="12"/>
      <c r="E9" s="12" t="s">
        <v>13</v>
      </c>
      <c r="F9" s="12"/>
    </row>
    <row r="10" spans="2:9" ht="30" x14ac:dyDescent="0.25">
      <c r="B10" s="12"/>
      <c r="C10" s="13" t="s">
        <v>14</v>
      </c>
      <c r="D10" s="13" t="s">
        <v>15</v>
      </c>
      <c r="E10" s="13" t="s">
        <v>14</v>
      </c>
      <c r="F10" s="13" t="s">
        <v>15</v>
      </c>
    </row>
    <row r="11" spans="2:9" x14ac:dyDescent="0.25">
      <c r="B11" s="14">
        <v>0</v>
      </c>
      <c r="C11" s="15">
        <v>1000000</v>
      </c>
      <c r="D11" s="14">
        <v>0</v>
      </c>
      <c r="E11" s="15">
        <v>1000000</v>
      </c>
      <c r="F11" s="15">
        <f>E11*0.07</f>
        <v>70000</v>
      </c>
    </row>
    <row r="12" spans="2:9" x14ac:dyDescent="0.25">
      <c r="B12" s="14">
        <v>1</v>
      </c>
      <c r="C12" s="15">
        <f>C11*1.12</f>
        <v>1120000</v>
      </c>
      <c r="D12" s="14">
        <v>0</v>
      </c>
      <c r="E12" s="15">
        <v>1050000</v>
      </c>
      <c r="F12" s="15">
        <f t="shared" ref="F12:F15" si="2">E12*0.07</f>
        <v>73500</v>
      </c>
    </row>
    <row r="13" spans="2:9" x14ac:dyDescent="0.25">
      <c r="B13" s="14">
        <v>2</v>
      </c>
      <c r="C13" s="15">
        <f t="shared" ref="C13:C14" si="3">C12*1.12</f>
        <v>1254400.0000000002</v>
      </c>
      <c r="D13" s="14">
        <v>0</v>
      </c>
      <c r="E13" s="15">
        <v>1102500</v>
      </c>
      <c r="F13" s="15">
        <f t="shared" si="2"/>
        <v>77175.000000000015</v>
      </c>
    </row>
    <row r="14" spans="2:9" x14ac:dyDescent="0.25">
      <c r="B14" s="14">
        <v>3</v>
      </c>
      <c r="C14" s="15">
        <f t="shared" si="3"/>
        <v>1404928.0000000005</v>
      </c>
      <c r="D14" s="15">
        <f t="shared" ref="D14:D15" si="4">C14*0.07</f>
        <v>98344.960000000036</v>
      </c>
      <c r="E14" s="15">
        <v>1157625</v>
      </c>
      <c r="F14" s="15">
        <f t="shared" si="2"/>
        <v>81033.750000000015</v>
      </c>
    </row>
    <row r="15" spans="2:9" x14ac:dyDescent="0.25">
      <c r="B15" s="14">
        <v>4</v>
      </c>
      <c r="C15" s="15">
        <f>C14*1.05</f>
        <v>1475174.4000000006</v>
      </c>
      <c r="D15" s="15">
        <f t="shared" si="4"/>
        <v>103262.20800000006</v>
      </c>
      <c r="E15" s="15">
        <v>1215506</v>
      </c>
      <c r="F15" s="15">
        <f t="shared" si="2"/>
        <v>85085.420000000013</v>
      </c>
    </row>
    <row r="16" spans="2:9" x14ac:dyDescent="0.25">
      <c r="B16" s="13" t="s">
        <v>60</v>
      </c>
      <c r="C16" s="16">
        <f>C15*1.05</f>
        <v>1548933.1200000008</v>
      </c>
      <c r="D16" s="16">
        <f>SUM(D14:D15)</f>
        <v>201607.16800000009</v>
      </c>
      <c r="E16" s="16">
        <v>1276282</v>
      </c>
      <c r="F16" s="16">
        <v>386794</v>
      </c>
    </row>
    <row r="18" spans="2:12" x14ac:dyDescent="0.25">
      <c r="B18" s="3" t="s">
        <v>20</v>
      </c>
      <c r="C18" s="4" t="s">
        <v>16</v>
      </c>
      <c r="D18" s="4" t="s">
        <v>4</v>
      </c>
      <c r="E18" s="4" t="s">
        <v>5</v>
      </c>
      <c r="F18" s="4" t="s">
        <v>6</v>
      </c>
    </row>
    <row r="19" spans="2:12" x14ac:dyDescent="0.25">
      <c r="B19" s="5" t="s">
        <v>17</v>
      </c>
      <c r="C19" s="6" t="s">
        <v>7</v>
      </c>
      <c r="D19" s="17">
        <v>0.25</v>
      </c>
      <c r="E19" s="17">
        <v>0.1</v>
      </c>
      <c r="F19" s="17">
        <v>0.65</v>
      </c>
    </row>
    <row r="20" spans="2:12" x14ac:dyDescent="0.25">
      <c r="B20" s="5" t="s">
        <v>17</v>
      </c>
      <c r="C20" s="6" t="s">
        <v>2</v>
      </c>
      <c r="D20" s="17">
        <v>0.35</v>
      </c>
      <c r="E20" s="17">
        <v>0.1</v>
      </c>
      <c r="F20" s="17">
        <v>0.55000000000000004</v>
      </c>
    </row>
    <row r="21" spans="2:12" x14ac:dyDescent="0.25">
      <c r="B21" s="5" t="s">
        <v>17</v>
      </c>
      <c r="C21" s="6" t="s">
        <v>1</v>
      </c>
      <c r="D21" s="17">
        <v>0.4</v>
      </c>
      <c r="E21" s="17">
        <v>0.15</v>
      </c>
      <c r="F21" s="17">
        <v>0.45</v>
      </c>
    </row>
    <row r="22" spans="2:12" x14ac:dyDescent="0.25">
      <c r="B22" s="5" t="s">
        <v>17</v>
      </c>
      <c r="C22" s="6" t="s">
        <v>3</v>
      </c>
      <c r="D22" s="17">
        <v>0.45</v>
      </c>
      <c r="E22" s="17">
        <v>0.2</v>
      </c>
      <c r="F22" s="17">
        <v>0.35</v>
      </c>
    </row>
    <row r="23" spans="2:12" x14ac:dyDescent="0.25">
      <c r="B23" s="5" t="s">
        <v>17</v>
      </c>
      <c r="C23" s="6" t="s">
        <v>18</v>
      </c>
      <c r="D23" s="17">
        <v>0.5</v>
      </c>
      <c r="E23" s="17">
        <v>0.25</v>
      </c>
      <c r="F23" s="17">
        <v>0.25</v>
      </c>
    </row>
    <row r="24" spans="2:12" x14ac:dyDescent="0.25">
      <c r="B24" s="5" t="s">
        <v>19</v>
      </c>
      <c r="C24" s="6">
        <v>100</v>
      </c>
      <c r="D24" s="17">
        <v>1</v>
      </c>
      <c r="E24" s="6"/>
      <c r="F24" s="6"/>
    </row>
    <row r="26" spans="2:12" x14ac:dyDescent="0.25">
      <c r="B26" s="18" t="s">
        <v>62</v>
      </c>
      <c r="C26" s="19"/>
      <c r="D26" s="19"/>
      <c r="E26" s="19"/>
    </row>
    <row r="27" spans="2:12" x14ac:dyDescent="0.25">
      <c r="B27" s="20" t="s">
        <v>63</v>
      </c>
      <c r="C27" s="19"/>
      <c r="D27" s="19"/>
      <c r="E27" s="19"/>
      <c r="K27"/>
      <c r="L27"/>
    </row>
    <row r="28" spans="2:12" x14ac:dyDescent="0.25">
      <c r="B28" s="21" t="s">
        <v>21</v>
      </c>
      <c r="C28" s="19"/>
      <c r="D28" s="19"/>
      <c r="E28" s="19"/>
      <c r="K28"/>
      <c r="L28"/>
    </row>
    <row r="29" spans="2:12" x14ac:dyDescent="0.25">
      <c r="B29" s="21" t="s">
        <v>22</v>
      </c>
      <c r="C29" s="19"/>
      <c r="D29" s="19"/>
      <c r="E29" s="19"/>
      <c r="K29"/>
      <c r="L29"/>
    </row>
    <row r="30" spans="2:12" x14ac:dyDescent="0.25">
      <c r="B30" s="21" t="s">
        <v>64</v>
      </c>
      <c r="C30" s="19"/>
      <c r="D30" s="19"/>
      <c r="E30" s="19"/>
      <c r="K30"/>
      <c r="L30"/>
    </row>
    <row r="31" spans="2:12" x14ac:dyDescent="0.25">
      <c r="B31" s="21"/>
      <c r="C31" s="19"/>
      <c r="D31" s="19"/>
      <c r="E31" s="19"/>
      <c r="K31"/>
      <c r="L31"/>
    </row>
    <row r="32" spans="2:12" x14ac:dyDescent="0.25">
      <c r="B32" s="20" t="s">
        <v>65</v>
      </c>
      <c r="C32" s="19"/>
      <c r="D32" s="19"/>
      <c r="E32" s="19"/>
      <c r="K32"/>
      <c r="L32"/>
    </row>
    <row r="33" spans="2:12" x14ac:dyDescent="0.25">
      <c r="B33" s="22" t="s">
        <v>23</v>
      </c>
      <c r="C33" s="19"/>
      <c r="D33" s="19"/>
      <c r="E33" s="19"/>
      <c r="K33"/>
      <c r="L33"/>
    </row>
    <row r="34" spans="2:12" x14ac:dyDescent="0.25">
      <c r="B34" s="22" t="s">
        <v>24</v>
      </c>
      <c r="C34" s="19"/>
      <c r="D34" s="19"/>
      <c r="E34" s="19"/>
      <c r="K34"/>
      <c r="L34"/>
    </row>
    <row r="35" spans="2:12" x14ac:dyDescent="0.25">
      <c r="B35" s="23" t="s">
        <v>25</v>
      </c>
      <c r="C35" s="19"/>
      <c r="D35" s="19"/>
      <c r="E35" s="19"/>
      <c r="K35"/>
      <c r="L35"/>
    </row>
    <row r="36" spans="2:12" x14ac:dyDescent="0.25">
      <c r="B36" s="19"/>
      <c r="C36" s="19"/>
      <c r="D36" s="19"/>
      <c r="E36" s="19"/>
      <c r="K36"/>
      <c r="L36"/>
    </row>
    <row r="37" spans="2:12" x14ac:dyDescent="0.25">
      <c r="B37" s="20" t="s">
        <v>66</v>
      </c>
      <c r="C37" s="19"/>
      <c r="D37" s="19"/>
      <c r="E37" s="19"/>
      <c r="K37"/>
      <c r="L37"/>
    </row>
    <row r="38" spans="2:12" x14ac:dyDescent="0.25">
      <c r="B38" s="20" t="s">
        <v>26</v>
      </c>
      <c r="C38" s="19"/>
      <c r="D38" s="19"/>
      <c r="E38" s="19"/>
      <c r="K38"/>
      <c r="L38"/>
    </row>
    <row r="39" spans="2:12" x14ac:dyDescent="0.25">
      <c r="B39" s="24" t="s">
        <v>27</v>
      </c>
      <c r="C39" s="19"/>
      <c r="D39" s="19"/>
      <c r="E39" s="19"/>
      <c r="K39"/>
      <c r="L39"/>
    </row>
    <row r="40" spans="2:12" x14ac:dyDescent="0.25">
      <c r="B40" s="24" t="s">
        <v>67</v>
      </c>
      <c r="C40" s="19"/>
      <c r="D40" s="19"/>
      <c r="E40" s="19"/>
      <c r="K40"/>
      <c r="L40"/>
    </row>
    <row r="41" spans="2:12" x14ac:dyDescent="0.25">
      <c r="B41" s="24" t="s">
        <v>28</v>
      </c>
      <c r="C41" s="19"/>
      <c r="D41" s="19"/>
      <c r="E41" s="19"/>
      <c r="K41"/>
      <c r="L41"/>
    </row>
    <row r="42" spans="2:12" x14ac:dyDescent="0.25">
      <c r="B42" s="20" t="s">
        <v>29</v>
      </c>
      <c r="C42" s="19"/>
      <c r="D42" s="19"/>
      <c r="E42" s="19"/>
      <c r="K42"/>
      <c r="L42"/>
    </row>
    <row r="43" spans="2:12" x14ac:dyDescent="0.25">
      <c r="B43" s="24" t="s">
        <v>30</v>
      </c>
      <c r="C43" s="19"/>
      <c r="D43" s="19"/>
      <c r="E43" s="19"/>
      <c r="K43"/>
      <c r="L43"/>
    </row>
    <row r="44" spans="2:12" x14ac:dyDescent="0.25">
      <c r="B44" s="24" t="s">
        <v>31</v>
      </c>
      <c r="C44" s="19"/>
      <c r="D44" s="19"/>
      <c r="E44" s="19"/>
      <c r="K44"/>
      <c r="L44"/>
    </row>
    <row r="45" spans="2:12" x14ac:dyDescent="0.25">
      <c r="B45" s="24" t="s">
        <v>32</v>
      </c>
      <c r="C45" s="19"/>
      <c r="D45" s="19"/>
      <c r="E45" s="19"/>
      <c r="K45"/>
      <c r="L45"/>
    </row>
    <row r="46" spans="2:12" x14ac:dyDescent="0.25">
      <c r="B46" s="19"/>
      <c r="C46" s="19"/>
      <c r="D46" s="19"/>
      <c r="E46" s="19"/>
      <c r="K46"/>
      <c r="L46"/>
    </row>
    <row r="47" spans="2:12" x14ac:dyDescent="0.25">
      <c r="B47" s="20" t="s">
        <v>68</v>
      </c>
      <c r="C47" s="19"/>
      <c r="D47" s="19"/>
      <c r="E47" s="19"/>
      <c r="K47"/>
      <c r="L47"/>
    </row>
    <row r="48" spans="2:12" x14ac:dyDescent="0.25">
      <c r="B48" s="22" t="s">
        <v>33</v>
      </c>
      <c r="C48" s="19"/>
      <c r="D48" s="19"/>
      <c r="E48" s="19"/>
      <c r="K48"/>
      <c r="L48"/>
    </row>
    <row r="49" spans="2:12" x14ac:dyDescent="0.25">
      <c r="B49" s="22" t="s">
        <v>34</v>
      </c>
      <c r="C49" s="19"/>
      <c r="D49" s="19"/>
      <c r="E49" s="19"/>
      <c r="K49"/>
      <c r="L49"/>
    </row>
    <row r="50" spans="2:12" x14ac:dyDescent="0.25">
      <c r="B50" s="23" t="s">
        <v>35</v>
      </c>
      <c r="C50" s="19"/>
      <c r="D50" s="19"/>
      <c r="E50" s="19"/>
      <c r="K50"/>
      <c r="L50"/>
    </row>
    <row r="51" spans="2:12" x14ac:dyDescent="0.25">
      <c r="B51" s="19"/>
      <c r="C51" s="19"/>
      <c r="D51" s="19"/>
      <c r="E51" s="19"/>
      <c r="K51"/>
      <c r="L51"/>
    </row>
    <row r="52" spans="2:12" x14ac:dyDescent="0.25">
      <c r="B52" s="20" t="s">
        <v>69</v>
      </c>
      <c r="C52" s="19"/>
      <c r="D52" s="19"/>
      <c r="E52" s="19"/>
      <c r="K52"/>
      <c r="L52"/>
    </row>
    <row r="53" spans="2:12" x14ac:dyDescent="0.25">
      <c r="B53" s="25" t="s">
        <v>36</v>
      </c>
      <c r="C53" s="25" t="s">
        <v>4</v>
      </c>
      <c r="D53" s="25" t="s">
        <v>5</v>
      </c>
      <c r="E53" s="25" t="s">
        <v>6</v>
      </c>
      <c r="K53"/>
      <c r="L53"/>
    </row>
    <row r="54" spans="2:12" x14ac:dyDescent="0.25">
      <c r="B54" s="26" t="s">
        <v>7</v>
      </c>
      <c r="C54" s="27">
        <v>0.25</v>
      </c>
      <c r="D54" s="27">
        <v>0.1</v>
      </c>
      <c r="E54" s="27">
        <v>0.65</v>
      </c>
      <c r="K54"/>
      <c r="L54"/>
    </row>
    <row r="55" spans="2:12" x14ac:dyDescent="0.25">
      <c r="B55" s="26" t="s">
        <v>2</v>
      </c>
      <c r="C55" s="27">
        <v>0.35</v>
      </c>
      <c r="D55" s="27">
        <v>0.1</v>
      </c>
      <c r="E55" s="27">
        <v>0.55000000000000004</v>
      </c>
      <c r="K55"/>
      <c r="L55"/>
    </row>
    <row r="56" spans="2:12" x14ac:dyDescent="0.25">
      <c r="B56" s="26" t="s">
        <v>1</v>
      </c>
      <c r="C56" s="27">
        <v>0.4</v>
      </c>
      <c r="D56" s="27">
        <v>0.15</v>
      </c>
      <c r="E56" s="27">
        <v>0.45</v>
      </c>
      <c r="K56"/>
      <c r="L56"/>
    </row>
    <row r="57" spans="2:12" x14ac:dyDescent="0.25">
      <c r="B57" s="26" t="s">
        <v>3</v>
      </c>
      <c r="C57" s="27">
        <v>0.45</v>
      </c>
      <c r="D57" s="27">
        <v>0.2</v>
      </c>
      <c r="E57" s="27">
        <v>0.35</v>
      </c>
      <c r="K57"/>
      <c r="L57"/>
    </row>
    <row r="58" spans="2:12" x14ac:dyDescent="0.25">
      <c r="B58" s="26" t="s">
        <v>18</v>
      </c>
      <c r="C58" s="27">
        <v>0.5</v>
      </c>
      <c r="D58" s="27">
        <v>0.25</v>
      </c>
      <c r="E58" s="27">
        <v>0.25</v>
      </c>
      <c r="K58"/>
      <c r="L58"/>
    </row>
    <row r="59" spans="2:12" x14ac:dyDescent="0.25">
      <c r="B59" s="28" t="s">
        <v>59</v>
      </c>
      <c r="C59" s="29">
        <v>1</v>
      </c>
      <c r="D59" s="30"/>
      <c r="E59" s="30"/>
      <c r="K59"/>
      <c r="L59"/>
    </row>
    <row r="60" spans="2:12" x14ac:dyDescent="0.25">
      <c r="B60" s="23" t="s">
        <v>70</v>
      </c>
      <c r="C60" s="19"/>
      <c r="D60" s="19"/>
      <c r="E60" s="19"/>
      <c r="K60"/>
      <c r="L60"/>
    </row>
    <row r="61" spans="2:12" x14ac:dyDescent="0.25">
      <c r="B61" s="19"/>
      <c r="C61" s="19"/>
      <c r="D61" s="19"/>
      <c r="E61" s="19"/>
      <c r="K61"/>
      <c r="L61"/>
    </row>
    <row r="62" spans="2:12" x14ac:dyDescent="0.25">
      <c r="B62" s="20" t="s">
        <v>71</v>
      </c>
      <c r="C62" s="19"/>
      <c r="D62" s="19"/>
      <c r="E62" s="19"/>
      <c r="K62"/>
      <c r="L62"/>
    </row>
    <row r="63" spans="2:12" x14ac:dyDescent="0.25">
      <c r="B63" s="23" t="s">
        <v>37</v>
      </c>
      <c r="C63" s="19"/>
      <c r="D63" s="19"/>
      <c r="E63" s="19"/>
      <c r="K63"/>
      <c r="L63"/>
    </row>
    <row r="64" spans="2:12" x14ac:dyDescent="0.25">
      <c r="B64" s="23" t="s">
        <v>38</v>
      </c>
      <c r="C64" s="19"/>
      <c r="D64" s="19"/>
      <c r="E64" s="19"/>
      <c r="K64"/>
      <c r="L64"/>
    </row>
    <row r="65" spans="2:12" x14ac:dyDescent="0.25">
      <c r="B65" s="23" t="s">
        <v>39</v>
      </c>
      <c r="C65" s="19"/>
      <c r="D65" s="19"/>
      <c r="E65" s="19"/>
      <c r="K65"/>
      <c r="L65"/>
    </row>
    <row r="66" spans="2:12" x14ac:dyDescent="0.25">
      <c r="B66" s="19"/>
      <c r="C66" s="19"/>
      <c r="D66" s="19"/>
      <c r="E66" s="19"/>
      <c r="K66"/>
      <c r="L66"/>
    </row>
    <row r="67" spans="2:12" x14ac:dyDescent="0.25">
      <c r="B67" s="20" t="s">
        <v>72</v>
      </c>
      <c r="C67" s="19"/>
      <c r="D67" s="19"/>
      <c r="E67" s="19"/>
      <c r="K67"/>
      <c r="L67"/>
    </row>
    <row r="68" spans="2:12" x14ac:dyDescent="0.25">
      <c r="B68" s="20" t="s">
        <v>40</v>
      </c>
      <c r="C68" s="19"/>
      <c r="D68" s="19"/>
      <c r="E68" s="19"/>
      <c r="K68"/>
      <c r="L68"/>
    </row>
    <row r="69" spans="2:12" x14ac:dyDescent="0.25">
      <c r="B69" s="24" t="s">
        <v>41</v>
      </c>
      <c r="C69" s="19"/>
      <c r="D69" s="19"/>
      <c r="E69" s="19"/>
      <c r="K69"/>
      <c r="L69"/>
    </row>
    <row r="70" spans="2:12" x14ac:dyDescent="0.25">
      <c r="B70" s="20" t="s">
        <v>42</v>
      </c>
      <c r="C70" s="19"/>
      <c r="D70" s="19"/>
      <c r="E70" s="19"/>
      <c r="K70"/>
      <c r="L70"/>
    </row>
    <row r="71" spans="2:12" x14ac:dyDescent="0.25">
      <c r="B71" s="24" t="s">
        <v>43</v>
      </c>
      <c r="C71" s="19"/>
      <c r="D71" s="19"/>
      <c r="E71" s="19"/>
      <c r="K71"/>
      <c r="L71"/>
    </row>
    <row r="72" spans="2:12" x14ac:dyDescent="0.25">
      <c r="B72" s="31" t="s">
        <v>44</v>
      </c>
      <c r="C72" s="19"/>
      <c r="D72" s="19"/>
      <c r="E72" s="19"/>
      <c r="K72"/>
      <c r="L72"/>
    </row>
    <row r="73" spans="2:12" x14ac:dyDescent="0.25">
      <c r="B73" s="31" t="s">
        <v>45</v>
      </c>
      <c r="C73" s="19"/>
      <c r="D73" s="19"/>
      <c r="E73" s="19"/>
      <c r="K73"/>
      <c r="L73"/>
    </row>
    <row r="74" spans="2:12" x14ac:dyDescent="0.25">
      <c r="B74" s="31" t="s">
        <v>46</v>
      </c>
      <c r="C74" s="19"/>
      <c r="D74" s="19"/>
      <c r="E74" s="19"/>
      <c r="K74"/>
      <c r="L74"/>
    </row>
    <row r="75" spans="2:12" x14ac:dyDescent="0.25">
      <c r="B75" s="24" t="s">
        <v>47</v>
      </c>
      <c r="C75" s="19"/>
      <c r="D75" s="19"/>
      <c r="E75" s="19"/>
      <c r="K75"/>
      <c r="L75"/>
    </row>
  </sheetData>
  <mergeCells count="3">
    <mergeCell ref="B9:B10"/>
    <mergeCell ref="C9:D9"/>
    <mergeCell ref="E9:F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 - Off plan vs ready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Ivaan Shekhar Beura</cp:lastModifiedBy>
  <dcterms:created xsi:type="dcterms:W3CDTF">2026-02-14T09:06:45Z</dcterms:created>
  <dcterms:modified xsi:type="dcterms:W3CDTF">2026-05-15T05:08:43Z</dcterms:modified>
</cp:coreProperties>
</file>